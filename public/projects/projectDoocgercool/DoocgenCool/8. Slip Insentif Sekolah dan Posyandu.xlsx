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My Drive\Laporan\2026\8. LAPORAN 13 APRIL - 25 APRIL 2026\"/>
    </mc:Choice>
  </mc:AlternateContent>
  <xr:revisionPtr revIDLastSave="0" documentId="13_ncr:1_{80FEB12F-3E1A-4E53-8C41-0CF6F5C2A569}" xr6:coauthVersionLast="47" xr6:coauthVersionMax="47" xr10:uidLastSave="{00000000-0000-0000-0000-000000000000}"/>
  <bookViews>
    <workbookView xWindow="-110" yWindow="-110" windowWidth="19420" windowHeight="11500" firstSheet="6" activeTab="10" xr2:uid="{54159D88-83C4-468B-94E0-BFD541BC1EE7}"/>
  </bookViews>
  <sheets>
    <sheet name="Dashboard" sheetId="2" r:id="rId1"/>
    <sheet name="Sekolah" sheetId="1" r:id="rId2"/>
    <sheet name="Sekolah (2)" sheetId="3" r:id="rId3"/>
    <sheet name="Sekolah (3)" sheetId="4" r:id="rId4"/>
    <sheet name="Sekolah (4)" sheetId="5" r:id="rId5"/>
    <sheet name="Sekolah (5)" sheetId="6" r:id="rId6"/>
    <sheet name="Sekolah (6)" sheetId="7" r:id="rId7"/>
    <sheet name="Sekolah (7)" sheetId="8" r:id="rId8"/>
    <sheet name="Sekolah (8)" sheetId="10" r:id="rId9"/>
    <sheet name="Sekolah (9)" sheetId="9" r:id="rId10"/>
    <sheet name="Posyandu (10)" sheetId="11" r:id="rId11"/>
    <sheet name="Posyandu (11)" sheetId="12" r:id="rId12"/>
    <sheet name="Posyandu (12)" sheetId="13" r:id="rId13"/>
    <sheet name="Posyandu (13)" sheetId="14" r:id="rId14"/>
  </sheets>
  <externalReferences>
    <externalReference r:id="rId15"/>
    <externalReference r:id="rId16"/>
  </externalReferences>
  <definedNames>
    <definedName name="_xlnm.Print_Area" localSheetId="10">'Posyandu (10)'!$B$2:$H$51</definedName>
    <definedName name="_xlnm.Print_Area" localSheetId="11">'Posyandu (11)'!$B$2:$H$51</definedName>
    <definedName name="_xlnm.Print_Area" localSheetId="12">'Posyandu (12)'!$B$2:$H$51</definedName>
    <definedName name="_xlnm.Print_Area" localSheetId="13">'Posyandu (13)'!$B$2:$H$51</definedName>
    <definedName name="_xlnm.Print_Area" localSheetId="1">Sekolah!$B$2:$H$51</definedName>
    <definedName name="_xlnm.Print_Area" localSheetId="2">'Sekolah (2)'!$B$2:$H$51</definedName>
    <definedName name="_xlnm.Print_Area" localSheetId="3">'Sekolah (3)'!$B$2:$H$51</definedName>
    <definedName name="_xlnm.Print_Area" localSheetId="4">'Sekolah (4)'!$B$2:$H$51</definedName>
    <definedName name="_xlnm.Print_Area" localSheetId="5">'Sekolah (5)'!$B$2:$H$51</definedName>
    <definedName name="_xlnm.Print_Area" localSheetId="6">'Sekolah (6)'!$B$2:$H$51</definedName>
    <definedName name="_xlnm.Print_Area" localSheetId="7">'Sekolah (7)'!$B$2:$H$51</definedName>
    <definedName name="_xlnm.Print_Area" localSheetId="8">'Sekolah (8)'!$B$2:$H$51</definedName>
    <definedName name="_xlnm.Print_Area" localSheetId="9">'Sekolah (9)'!$B$2:$H$51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D28" i="1"/>
  <c r="G42" i="14"/>
  <c r="F42" i="14"/>
  <c r="H42" i="14" s="1"/>
  <c r="C42" i="14"/>
  <c r="E38" i="14"/>
  <c r="E37" i="14"/>
  <c r="B33" i="14"/>
  <c r="G16" i="14"/>
  <c r="F16" i="14"/>
  <c r="C16" i="14"/>
  <c r="E12" i="14"/>
  <c r="E11" i="14"/>
  <c r="B7" i="14"/>
  <c r="G42" i="13"/>
  <c r="F42" i="13"/>
  <c r="H42" i="13" s="1"/>
  <c r="C42" i="13"/>
  <c r="E38" i="13"/>
  <c r="E37" i="13"/>
  <c r="B33" i="13"/>
  <c r="G16" i="13"/>
  <c r="F16" i="13"/>
  <c r="C16" i="13"/>
  <c r="E12" i="13"/>
  <c r="E11" i="13"/>
  <c r="B7" i="13"/>
  <c r="G42" i="12"/>
  <c r="F42" i="12"/>
  <c r="H42" i="12" s="1"/>
  <c r="C42" i="12"/>
  <c r="E38" i="12"/>
  <c r="E37" i="12"/>
  <c r="B33" i="12"/>
  <c r="G16" i="12"/>
  <c r="F16" i="12"/>
  <c r="C16" i="12"/>
  <c r="E12" i="12"/>
  <c r="E11" i="12"/>
  <c r="B7" i="12"/>
  <c r="G42" i="11"/>
  <c r="F42" i="11"/>
  <c r="H42" i="11" s="1"/>
  <c r="C42" i="11"/>
  <c r="E38" i="11"/>
  <c r="E37" i="11"/>
  <c r="B33" i="11"/>
  <c r="G16" i="11"/>
  <c r="F16" i="11"/>
  <c r="H16" i="11" s="1"/>
  <c r="C16" i="11"/>
  <c r="E12" i="11"/>
  <c r="E11" i="11"/>
  <c r="B7" i="11"/>
  <c r="G42" i="10"/>
  <c r="F42" i="10"/>
  <c r="H42" i="10" s="1"/>
  <c r="H44" i="10" s="1"/>
  <c r="C42" i="10"/>
  <c r="E38" i="10"/>
  <c r="E37" i="10"/>
  <c r="B33" i="10"/>
  <c r="G16" i="10"/>
  <c r="F16" i="10"/>
  <c r="H16" i="10" s="1"/>
  <c r="H18" i="10" s="1"/>
  <c r="C16" i="10"/>
  <c r="E12" i="10"/>
  <c r="E11" i="10"/>
  <c r="B7" i="10"/>
  <c r="J15" i="2"/>
  <c r="J14" i="2"/>
  <c r="J13" i="2"/>
  <c r="J12" i="2"/>
  <c r="J11" i="2"/>
  <c r="J10" i="2"/>
  <c r="H16" i="12" l="1"/>
  <c r="H44" i="12"/>
  <c r="H44" i="13"/>
  <c r="H44" i="14"/>
  <c r="H44" i="11"/>
  <c r="H18" i="12"/>
  <c r="H16" i="13"/>
  <c r="H18" i="13" s="1"/>
  <c r="H16" i="14"/>
  <c r="H18" i="14" s="1"/>
  <c r="H18" i="11"/>
  <c r="G42" i="9" l="1"/>
  <c r="F42" i="9"/>
  <c r="C42" i="9"/>
  <c r="E38" i="9"/>
  <c r="E37" i="9"/>
  <c r="B33" i="9"/>
  <c r="G16" i="9"/>
  <c r="F16" i="9"/>
  <c r="C16" i="9"/>
  <c r="E12" i="9"/>
  <c r="E11" i="9"/>
  <c r="B7" i="9"/>
  <c r="G42" i="8"/>
  <c r="F42" i="8"/>
  <c r="C42" i="8"/>
  <c r="E38" i="8"/>
  <c r="E37" i="8"/>
  <c r="B33" i="8"/>
  <c r="G16" i="8"/>
  <c r="F16" i="8"/>
  <c r="C16" i="8"/>
  <c r="E12" i="8"/>
  <c r="E11" i="8"/>
  <c r="B7" i="8"/>
  <c r="G42" i="7"/>
  <c r="F42" i="7"/>
  <c r="C42" i="7"/>
  <c r="E38" i="7"/>
  <c r="E37" i="7"/>
  <c r="B33" i="7"/>
  <c r="G16" i="7"/>
  <c r="F16" i="7"/>
  <c r="C16" i="7"/>
  <c r="E12" i="7"/>
  <c r="E11" i="7"/>
  <c r="B7" i="7"/>
  <c r="G42" i="6"/>
  <c r="F42" i="6"/>
  <c r="C42" i="6"/>
  <c r="E38" i="6"/>
  <c r="E37" i="6"/>
  <c r="B33" i="6"/>
  <c r="G16" i="6"/>
  <c r="F16" i="6"/>
  <c r="C16" i="6"/>
  <c r="E12" i="6"/>
  <c r="E11" i="6"/>
  <c r="B7" i="6"/>
  <c r="G42" i="5"/>
  <c r="F42" i="5"/>
  <c r="C42" i="5"/>
  <c r="E38" i="5"/>
  <c r="E37" i="5"/>
  <c r="B33" i="5"/>
  <c r="G16" i="5"/>
  <c r="F16" i="5"/>
  <c r="C16" i="5"/>
  <c r="E12" i="5"/>
  <c r="E11" i="5"/>
  <c r="B7" i="5"/>
  <c r="G42" i="4"/>
  <c r="F42" i="4"/>
  <c r="C42" i="4"/>
  <c r="E38" i="4"/>
  <c r="E37" i="4"/>
  <c r="B33" i="4"/>
  <c r="G16" i="4"/>
  <c r="F16" i="4"/>
  <c r="C16" i="4"/>
  <c r="E12" i="4"/>
  <c r="E11" i="4"/>
  <c r="B7" i="4"/>
  <c r="G42" i="3"/>
  <c r="F42" i="3"/>
  <c r="C42" i="3"/>
  <c r="E38" i="3"/>
  <c r="E37" i="3"/>
  <c r="B33" i="3"/>
  <c r="G16" i="3"/>
  <c r="F16" i="3"/>
  <c r="C16" i="3"/>
  <c r="E12" i="3"/>
  <c r="E11" i="3"/>
  <c r="B7" i="3"/>
  <c r="B33" i="1"/>
  <c r="B7" i="1"/>
  <c r="J4" i="2"/>
  <c r="J5" i="2"/>
  <c r="J6" i="2"/>
  <c r="J7" i="2"/>
  <c r="J8" i="2"/>
  <c r="J9" i="2"/>
  <c r="H16" i="3" l="1"/>
  <c r="H18" i="3" s="1"/>
  <c r="H16" i="4"/>
  <c r="H18" i="4" s="1"/>
  <c r="H16" i="5"/>
  <c r="H18" i="5" s="1"/>
  <c r="H16" i="7"/>
  <c r="H18" i="7" s="1"/>
  <c r="H16" i="8"/>
  <c r="H18" i="8" s="1"/>
  <c r="H42" i="3"/>
  <c r="H44" i="3" s="1"/>
  <c r="H42" i="4"/>
  <c r="H44" i="4" s="1"/>
  <c r="H42" i="5"/>
  <c r="H44" i="5" s="1"/>
  <c r="H42" i="7"/>
  <c r="H44" i="7" s="1"/>
  <c r="H42" i="8"/>
  <c r="H44" i="8" s="1"/>
  <c r="H16" i="9"/>
  <c r="H18" i="9" s="1"/>
  <c r="H42" i="9"/>
  <c r="H44" i="9" s="1"/>
  <c r="H16" i="6"/>
  <c r="H18" i="6" s="1"/>
  <c r="H42" i="6"/>
  <c r="H44" i="6" s="1"/>
  <c r="J3" i="2"/>
  <c r="J17" i="2" s="1"/>
  <c r="J22" i="2" s="1"/>
  <c r="G42" i="1" l="1"/>
  <c r="F42" i="1"/>
  <c r="E38" i="1"/>
  <c r="G16" i="1"/>
  <c r="F16" i="1"/>
  <c r="E12" i="1"/>
  <c r="C42" i="1"/>
  <c r="C16" i="1"/>
  <c r="E37" i="1"/>
  <c r="E11" i="1"/>
  <c r="H42" i="1" l="1"/>
  <c r="H44" i="1" s="1"/>
  <c r="H16" i="1"/>
  <c r="H18" i="1" s="1"/>
</calcChain>
</file>

<file path=xl/sharedStrings.xml><?xml version="1.0" encoding="utf-8"?>
<sst xmlns="http://schemas.openxmlformats.org/spreadsheetml/2006/main" count="630" uniqueCount="56">
  <si>
    <t>BUKTI PENERIMAAN INSENTIF GURU</t>
  </si>
  <si>
    <t>DATA PENERIMA</t>
  </si>
  <si>
    <t>Nama Guru</t>
  </si>
  <si>
    <t>Periode</t>
  </si>
  <si>
    <t>:</t>
  </si>
  <si>
    <t>RINCIAN PENERIMAAN</t>
  </si>
  <si>
    <t>NO</t>
  </si>
  <si>
    <t>Keterangan</t>
  </si>
  <si>
    <t>No</t>
  </si>
  <si>
    <t>Jumlah Hari</t>
  </si>
  <si>
    <t>Insentif Per Hari (Rp)</t>
  </si>
  <si>
    <t>Total (Rp)</t>
  </si>
  <si>
    <t>Total yang Diterima</t>
  </si>
  <si>
    <t>Kepala SPPG</t>
  </si>
  <si>
    <t>Mengetahui,</t>
  </si>
  <si>
    <t>Penerima</t>
  </si>
  <si>
    <t>Nama Sekolah</t>
  </si>
  <si>
    <t>Nomor Surat</t>
  </si>
  <si>
    <t>Jml Hari</t>
  </si>
  <si>
    <t>Insentif</t>
  </si>
  <si>
    <t>Tgl Periode</t>
  </si>
  <si>
    <t>Bulan</t>
  </si>
  <si>
    <t>031</t>
  </si>
  <si>
    <t>032</t>
  </si>
  <si>
    <t>033</t>
  </si>
  <si>
    <t>034</t>
  </si>
  <si>
    <t>035</t>
  </si>
  <si>
    <t>036</t>
  </si>
  <si>
    <t>IV</t>
  </si>
  <si>
    <t>SMK Negeri 1 Banda Aceh</t>
  </si>
  <si>
    <t>SD it Quantum Banda Aceh</t>
  </si>
  <si>
    <t>TK Be A Star Islamic Banda Aceh</t>
  </si>
  <si>
    <t>TK My Dream School Banda Aceh</t>
  </si>
  <si>
    <t>SPS Aneuk Lon Gaseh Banda Aceh</t>
  </si>
  <si>
    <t>026</t>
  </si>
  <si>
    <t>027</t>
  </si>
  <si>
    <t>028</t>
  </si>
  <si>
    <t>029</t>
  </si>
  <si>
    <t>030</t>
  </si>
  <si>
    <t>037</t>
  </si>
  <si>
    <t>038</t>
  </si>
  <si>
    <t>SPS Bohate Poma</t>
  </si>
  <si>
    <t>PAUD Permata Ummi</t>
  </si>
  <si>
    <t>SPS Saifa Bunda</t>
  </si>
  <si>
    <t>Posyandu Desa Lampeuot</t>
  </si>
  <si>
    <t>Posyandu Desa Lam Ara</t>
  </si>
  <si>
    <t>Posyandu Desa Geuceu Kaye Jato</t>
  </si>
  <si>
    <t>Posyandu Desa Geuceu Komplek</t>
  </si>
  <si>
    <t>MI Negeri 8 Banda Aceh</t>
  </si>
  <si>
    <t>Insentif Periode 8</t>
  </si>
  <si>
    <t>SPPG Kota Banda Aceh Banda Raya Lam Ara</t>
  </si>
  <si>
    <t>Yayasan Teungku Chik Dibitai</t>
  </si>
  <si>
    <t>Jl. Wedana, Lr. Nekku, No. 21, Desa Lam Ara, Kec. Banda Raya, Kota Banda Aceh</t>
  </si>
  <si>
    <t>13 April s.d 25 April 2026</t>
  </si>
  <si>
    <t>Aulia Rahmad, S.E.</t>
  </si>
  <si>
    <t>BUKTI PENERIMAAN INSENTIF KADER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</si>
</sst>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-[$Rp-421]* #,##0_-;\-[$Rp-421]* #,##0_-;_-[$Rp-421]* &quot;-&quot;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Tahoma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165" fontId="1" fillId="0" borderId="3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1" fillId="0" borderId="2" xfId="0" applyFont="1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7" xfId="0" applyBorder="1" applyAlignment="1">
      <alignment vertical="center"/>
    </xf>
    <xf numFmtId="0" fontId="0" fillId="2" borderId="0" xfId="0" applyFill="1"/>
    <xf numFmtId="164" fontId="0" fillId="0" borderId="1" xfId="0" applyNumberFormat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1" fontId="0" fillId="0" borderId="1" xfId="0" quotePrefix="1" applyNumberFormat="1" applyBorder="1" applyAlignment="1">
      <alignment horizontal="center"/>
    </xf>
    <xf numFmtId="0" fontId="0" fillId="0" borderId="1" xfId="0" quotePrefix="1" applyBorder="1"/>
    <xf numFmtId="0" fontId="5" fillId="0" borderId="1" xfId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388B6076-2E7D-4704-9A58-50838A7BC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8AF787-BE59-9354-5F1E-78B6CAC2B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748" y="53341"/>
          <a:ext cx="653524" cy="649223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4" name="Picture 3">
          <a:extLst>
            <a:ext uri="{FF2B5EF4-FFF2-40B4-BE49-F238E27FC236}">
              <a16:creationId xmlns:a16="http://schemas.microsoft.com/office/drawing/2014/main" id="{B96EDB7F-6A1D-47B8-991C-B80310446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" y="4942333"/>
          <a:ext cx="653524" cy="6492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D48F5-6B5D-4809-A98E-8A23292DF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073FF47E-D2A0-4E99-B40A-E383F8149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841C92-E37D-4B79-9D82-993A6144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9E4C4FDE-7CCF-42E0-910B-72B4F0410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9D559-0359-4F4C-9437-02E1431E5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74AAD5D1-7779-4A9A-A384-E0E22AA7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E1DBA-7042-4F3A-ABAF-81CCE85E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52DC2608-0AAB-4BD4-B9BC-C8B311541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0A158-CDF3-46C2-AD1E-15243526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7465036F-C5CA-4000-AB90-ECA533F8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7610A-B38C-4DDC-9A94-1A7071F09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FDAC8F5B-4194-436B-96D8-8420F193E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85E4C-5E0E-4407-B4F5-D8165098F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88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562BFFB1-E674-43BF-8C6C-1737A019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28285"/>
          <a:ext cx="653524" cy="64922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F6009-501B-48AE-A87C-C9CB374D2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4316"/>
          <a:ext cx="687433" cy="6515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78A3A039-160E-4C50-B4A6-9937E0106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129785"/>
          <a:ext cx="653524" cy="649223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7D3A4-607D-4DE3-AAA9-802C9AAC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880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30A1C92D-896C-4A56-9143-AABD6AAFA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28285"/>
          <a:ext cx="653524" cy="64922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EF0E1-37C6-4E51-836C-934417BB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927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85D1ACF0-EBD1-4330-B72C-88BB48C85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72735"/>
          <a:ext cx="653524" cy="649223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562E4-96F4-42C8-BF9D-374752C41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927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7A2D10FB-7690-4DCE-9288-8378D079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72735"/>
          <a:ext cx="653524" cy="649223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269748</xdr:colOff>
      <xdr:row>1</xdr:row>
      <xdr:rowOff>53341</xdr:rowOff>
    </xdr:from>
    <xdr:to>
      <xdr:col>2</xdr:col>
      <xdr:colOff>642856</xdr:colOff>
      <xdr:row>3</xdr:row>
      <xdr:rowOff>184620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2D31B-ABAF-4F42-950A-EE07BAF29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98" y="231141"/>
          <a:ext cx="684258" cy="639279"/>
        </a:xfrm>
        <a:prstGeom prst="rect">
          <a:avLst/>
        </a:prstGeom>
      </xdr:spPr>
    </xdr:pic>
    <xdr:clientData/>
  </xdr:twoCellAnchor>
  <xdr:oneCellAnchor>
    <xdr:from>
      <xdr:col>1</xdr:col>
      <xdr:colOff>257556</xdr:colOff>
      <xdr:row>26</xdr:row>
      <xdr:rowOff>138685</xdr:rowOff>
    </xdr:from>
    <xdr:ext cx="653524" cy="649223"/>
    <xdr:pic>
      <xdr:nvPicPr>
        <xdr:cNvPr id="3" name="Picture 2">
          <a:extLst>
            <a:ext uri="{FF2B5EF4-FFF2-40B4-BE49-F238E27FC236}">
              <a16:creationId xmlns:a16="http://schemas.microsoft.com/office/drawing/2014/main" id="{4FC35BE1-111C-4B5D-A332-D0386271C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106" y="5872735"/>
          <a:ext cx="653524" cy="6492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pur\Insentif%20Guru\Insentif%20Guru%2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pur\Insentif%20Guru\Insentif%20Guru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kboard"/>
      <sheetName val="Sekolah"/>
    </sheetNames>
    <sheetDataSet>
      <sheetData sheetId="0">
        <row r="10">
          <cell r="J10">
            <v>3900000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kboard"/>
      <sheetName val="Sekolah"/>
    </sheetNames>
    <sheetDataSet>
      <sheetData sheetId="0">
        <row r="10">
          <cell r="J10">
            <v>4270000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EC5-8C04-4296-BF6F-6D8470652A9F}">
  <dimension ref="A1:J22"/>
  <sheetViews>
    <sheetView workbookViewId="0">
      <selection activeCell="H8" sqref="H8"/>
    </sheetView>
  </sheetViews>
  <sheetFormatPr defaultRowHeight="14.5" x14ac:dyDescent="0.35"/>
  <cols>
    <col min="1" max="1" width="5.7265625" style="2" customWidth="1"/>
    <col min="2" max="2" width="33.453125" bestFit="1" customWidth="1"/>
    <col min="3" max="3" width="21.453125" customWidth="1"/>
    <col min="4" max="5" width="11.54296875" customWidth="1"/>
    <col min="6" max="6" width="54.36328125" bestFit="1" customWidth="1"/>
    <col min="7" max="7" width="11.26953125" style="2" customWidth="1"/>
    <col min="8" max="8" width="16.08984375" customWidth="1"/>
    <col min="10" max="10" width="12.7265625" customWidth="1"/>
  </cols>
  <sheetData>
    <row r="1" spans="1:10" ht="25.9" customHeight="1" x14ac:dyDescent="0.35">
      <c r="A1" s="21" t="s">
        <v>49</v>
      </c>
      <c r="B1" s="21"/>
    </row>
    <row r="2" spans="1:10" ht="26.5" customHeight="1" x14ac:dyDescent="0.35">
      <c r="A2" s="11" t="s">
        <v>6</v>
      </c>
      <c r="B2" s="11" t="s">
        <v>16</v>
      </c>
      <c r="C2" s="11" t="s">
        <v>2</v>
      </c>
      <c r="D2" s="11" t="s">
        <v>17</v>
      </c>
      <c r="E2" s="11" t="s">
        <v>21</v>
      </c>
      <c r="F2" s="11" t="s">
        <v>20</v>
      </c>
      <c r="G2" s="11" t="s">
        <v>18</v>
      </c>
      <c r="H2" s="11" t="s">
        <v>19</v>
      </c>
    </row>
    <row r="3" spans="1:10" ht="15.5" x14ac:dyDescent="0.35">
      <c r="A3" s="6">
        <v>1</v>
      </c>
      <c r="B3" s="7" t="s">
        <v>29</v>
      </c>
      <c r="C3" s="7"/>
      <c r="D3" s="18" t="s">
        <v>34</v>
      </c>
      <c r="E3" s="12" t="s">
        <v>28</v>
      </c>
      <c r="F3" s="19" t="s">
        <v>53</v>
      </c>
      <c r="G3" s="20">
        <v>11</v>
      </c>
      <c r="H3" s="15">
        <v>60000</v>
      </c>
      <c r="J3" s="16">
        <f t="shared" ref="J3:J11" si="0">G3*H3</f>
        <v>660000</v>
      </c>
    </row>
    <row r="4" spans="1:10" ht="15.5" x14ac:dyDescent="0.35">
      <c r="A4" s="6">
        <v>2</v>
      </c>
      <c r="B4" s="7" t="s">
        <v>48</v>
      </c>
      <c r="C4" s="7"/>
      <c r="D4" s="18" t="s">
        <v>35</v>
      </c>
      <c r="E4" s="12" t="s">
        <v>28</v>
      </c>
      <c r="F4" s="19" t="s">
        <v>53</v>
      </c>
      <c r="G4" s="20">
        <v>11</v>
      </c>
      <c r="H4" s="15">
        <v>60000</v>
      </c>
      <c r="J4" s="16">
        <f t="shared" si="0"/>
        <v>660000</v>
      </c>
    </row>
    <row r="5" spans="1:10" ht="15.5" x14ac:dyDescent="0.35">
      <c r="A5" s="6">
        <v>3</v>
      </c>
      <c r="B5" s="7" t="s">
        <v>30</v>
      </c>
      <c r="C5" s="7"/>
      <c r="D5" s="18" t="s">
        <v>36</v>
      </c>
      <c r="E5" s="12" t="s">
        <v>28</v>
      </c>
      <c r="F5" s="19" t="s">
        <v>53</v>
      </c>
      <c r="G5" s="20">
        <v>10</v>
      </c>
      <c r="H5" s="15">
        <v>30000</v>
      </c>
      <c r="J5" s="16">
        <f t="shared" si="0"/>
        <v>300000</v>
      </c>
    </row>
    <row r="6" spans="1:10" ht="15.5" x14ac:dyDescent="0.35">
      <c r="A6" s="6">
        <v>4</v>
      </c>
      <c r="B6" s="7" t="s">
        <v>31</v>
      </c>
      <c r="C6" s="7"/>
      <c r="D6" s="18" t="s">
        <v>37</v>
      </c>
      <c r="E6" s="12" t="s">
        <v>28</v>
      </c>
      <c r="F6" s="19" t="s">
        <v>53</v>
      </c>
      <c r="G6" s="20">
        <v>10</v>
      </c>
      <c r="H6" s="15">
        <v>20000</v>
      </c>
      <c r="J6" s="16">
        <f t="shared" si="0"/>
        <v>200000</v>
      </c>
    </row>
    <row r="7" spans="1:10" ht="15.5" x14ac:dyDescent="0.35">
      <c r="A7" s="6">
        <v>5</v>
      </c>
      <c r="B7" s="7" t="s">
        <v>32</v>
      </c>
      <c r="C7" s="7"/>
      <c r="D7" s="18" t="s">
        <v>38</v>
      </c>
      <c r="E7" s="12" t="s">
        <v>28</v>
      </c>
      <c r="F7" s="19" t="s">
        <v>53</v>
      </c>
      <c r="G7" s="20">
        <v>10</v>
      </c>
      <c r="H7" s="15">
        <v>20000</v>
      </c>
      <c r="J7" s="16">
        <f t="shared" si="0"/>
        <v>200000</v>
      </c>
    </row>
    <row r="8" spans="1:10" ht="15.5" x14ac:dyDescent="0.35">
      <c r="A8" s="6">
        <v>6</v>
      </c>
      <c r="B8" s="7" t="s">
        <v>33</v>
      </c>
      <c r="C8" s="7"/>
      <c r="D8" s="18" t="s">
        <v>22</v>
      </c>
      <c r="E8" s="12" t="s">
        <v>28</v>
      </c>
      <c r="F8" s="19" t="s">
        <v>53</v>
      </c>
      <c r="G8" s="20">
        <v>10</v>
      </c>
      <c r="H8" s="15">
        <v>20000</v>
      </c>
      <c r="J8" s="16">
        <f t="shared" si="0"/>
        <v>200000</v>
      </c>
    </row>
    <row r="9" spans="1:10" ht="15.5" x14ac:dyDescent="0.35">
      <c r="A9" s="6">
        <v>7</v>
      </c>
      <c r="B9" s="7" t="s">
        <v>41</v>
      </c>
      <c r="C9" s="7"/>
      <c r="D9" s="18" t="s">
        <v>23</v>
      </c>
      <c r="E9" s="12" t="s">
        <v>28</v>
      </c>
      <c r="F9" s="19" t="s">
        <v>53</v>
      </c>
      <c r="G9" s="20">
        <v>10</v>
      </c>
      <c r="H9" s="15">
        <v>20000</v>
      </c>
      <c r="J9" s="16">
        <f t="shared" si="0"/>
        <v>200000</v>
      </c>
    </row>
    <row r="10" spans="1:10" ht="15.5" x14ac:dyDescent="0.35">
      <c r="A10" s="6">
        <v>8</v>
      </c>
      <c r="B10" s="7" t="s">
        <v>42</v>
      </c>
      <c r="C10" s="7"/>
      <c r="D10" s="18" t="s">
        <v>24</v>
      </c>
      <c r="E10" s="12" t="s">
        <v>28</v>
      </c>
      <c r="F10" s="19" t="s">
        <v>53</v>
      </c>
      <c r="G10" s="20">
        <v>10</v>
      </c>
      <c r="H10" s="15">
        <v>20000</v>
      </c>
      <c r="J10" s="16">
        <f t="shared" si="0"/>
        <v>200000</v>
      </c>
    </row>
    <row r="11" spans="1:10" ht="15.5" x14ac:dyDescent="0.35">
      <c r="A11" s="6">
        <v>9</v>
      </c>
      <c r="B11" s="7" t="s">
        <v>43</v>
      </c>
      <c r="C11" s="7"/>
      <c r="D11" s="18" t="s">
        <v>25</v>
      </c>
      <c r="E11" s="12" t="s">
        <v>28</v>
      </c>
      <c r="F11" s="19" t="s">
        <v>53</v>
      </c>
      <c r="G11" s="20">
        <v>10</v>
      </c>
      <c r="H11" s="15">
        <v>20000</v>
      </c>
      <c r="J11" s="16">
        <f t="shared" si="0"/>
        <v>200000</v>
      </c>
    </row>
    <row r="12" spans="1:10" ht="15.5" x14ac:dyDescent="0.35">
      <c r="A12" s="6">
        <v>10</v>
      </c>
      <c r="B12" s="7" t="s">
        <v>44</v>
      </c>
      <c r="C12" s="7"/>
      <c r="D12" s="18" t="s">
        <v>26</v>
      </c>
      <c r="E12" s="12" t="s">
        <v>28</v>
      </c>
      <c r="F12" s="19" t="s">
        <v>53</v>
      </c>
      <c r="G12" s="20">
        <v>11</v>
      </c>
      <c r="H12" s="15">
        <v>1000</v>
      </c>
      <c r="J12" s="16">
        <f>G12*H12*110</f>
        <v>1210000</v>
      </c>
    </row>
    <row r="13" spans="1:10" ht="15.5" x14ac:dyDescent="0.35">
      <c r="A13" s="6">
        <v>11</v>
      </c>
      <c r="B13" s="7" t="s">
        <v>45</v>
      </c>
      <c r="C13" s="7"/>
      <c r="D13" s="18" t="s">
        <v>27</v>
      </c>
      <c r="E13" s="12" t="s">
        <v>28</v>
      </c>
      <c r="F13" s="19" t="s">
        <v>53</v>
      </c>
      <c r="G13" s="20">
        <v>11</v>
      </c>
      <c r="H13" s="15">
        <v>1000</v>
      </c>
      <c r="J13" s="16">
        <f>G13*H13*187</f>
        <v>2057000</v>
      </c>
    </row>
    <row r="14" spans="1:10" ht="15.5" x14ac:dyDescent="0.35">
      <c r="A14" s="6">
        <v>12</v>
      </c>
      <c r="B14" s="7" t="s">
        <v>46</v>
      </c>
      <c r="C14" s="7"/>
      <c r="D14" s="18" t="s">
        <v>39</v>
      </c>
      <c r="E14" s="12" t="s">
        <v>28</v>
      </c>
      <c r="F14" s="19" t="s">
        <v>53</v>
      </c>
      <c r="G14" s="20">
        <v>11</v>
      </c>
      <c r="H14" s="15">
        <v>1000</v>
      </c>
      <c r="J14" s="16">
        <f>G14*H14*118</f>
        <v>1298000</v>
      </c>
    </row>
    <row r="15" spans="1:10" ht="15.5" x14ac:dyDescent="0.35">
      <c r="A15" s="6">
        <v>13</v>
      </c>
      <c r="B15" s="7" t="s">
        <v>47</v>
      </c>
      <c r="C15" s="7"/>
      <c r="D15" s="18" t="s">
        <v>40</v>
      </c>
      <c r="E15" s="12" t="s">
        <v>28</v>
      </c>
      <c r="F15" s="19" t="s">
        <v>53</v>
      </c>
      <c r="G15" s="20">
        <v>11</v>
      </c>
      <c r="H15" s="15">
        <v>1000</v>
      </c>
      <c r="J15" s="16">
        <f>G15*H15*211</f>
        <v>2321000</v>
      </c>
    </row>
    <row r="17" spans="10:10" x14ac:dyDescent="0.35">
      <c r="J17" s="17">
        <f>SUM(J3:J15)</f>
        <v>9706000</v>
      </c>
    </row>
    <row r="22" spans="10:10" x14ac:dyDescent="0.35">
      <c r="J22" s="17">
        <f>J17+[1]Daskboard!$J$10+[2]Daskboard!$J$10</f>
        <v>17876000</v>
      </c>
    </row>
  </sheetData>
  <mergeCells count="1">
    <mergeCell ref="A1:B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41FB-FE35-4908-B645-C9C090393E14}">
  <sheetPr>
    <pageSetUpPr fitToPage="1"/>
  </sheetPr>
  <dimension ref="A1:K52"/>
  <sheetViews>
    <sheetView showGridLines="0" zoomScale="81" workbookViewId="0">
      <selection activeCell="K50" sqref="K50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1</v>
      </c>
    </row>
    <row r="7" spans="1:11" x14ac:dyDescent="0.35">
      <c r="A7" s="14"/>
      <c r="B7" s="30" t="str">
        <f>VLOOKUP(K$6,Dashboard!A$2:H$15,4,0)&amp;"/SPPG/INS/"&amp; VLOOKUP(K6,Dashboard!A$2:H$15,5,TRUE)&amp;"/2026"</f>
        <v>026/SPPG/INS/IV/2026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SMK Negeri 1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11</v>
      </c>
      <c r="G16" s="8">
        <f>VLOOKUP(K$6,Dashboard!A2:H15,8,FALSE)</f>
        <v>60000</v>
      </c>
      <c r="H16" s="8">
        <f>F16*G16</f>
        <v>660000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660000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2" t="str">
        <f>D2</f>
        <v>SPPG Kota Banda Aceh Banda Raya Lam Ara</v>
      </c>
      <c r="E28" s="22"/>
      <c r="F28" s="22"/>
      <c r="G28" s="22"/>
      <c r="H28" s="22"/>
      <c r="I28" s="14"/>
    </row>
    <row r="29" spans="1:9" x14ac:dyDescent="0.35">
      <c r="A29" s="14"/>
      <c r="D29" s="28" t="str">
        <f>D3</f>
        <v>Yayasan Teungku Chik Dibitai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tr">
        <f>D4</f>
        <v>Jl. Wedana, Lr. Nekku, No. 21, Desa Lam Ara, Kec. Banda Raya, Kota Banda Aceh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026/SPPG/INS/IV/2026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SMK Negeri 1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11</v>
      </c>
      <c r="G42" s="8">
        <f>VLOOKUP(K$6,Dashboard!A2:H15,8,FALSE)</f>
        <v>60000</v>
      </c>
      <c r="H42" s="8">
        <f>F42*G42</f>
        <v>660000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660000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F44:G44"/>
    <mergeCell ref="D28:H28"/>
    <mergeCell ref="D29:H29"/>
    <mergeCell ref="D30:H30"/>
    <mergeCell ref="B32:H32"/>
    <mergeCell ref="B33:H33"/>
    <mergeCell ref="C41:E41"/>
    <mergeCell ref="D2:H2"/>
    <mergeCell ref="K6:K7"/>
    <mergeCell ref="C16:E16"/>
    <mergeCell ref="C42:E42"/>
    <mergeCell ref="C15:E15"/>
    <mergeCell ref="F18:G18"/>
    <mergeCell ref="D3:H3"/>
    <mergeCell ref="D4:H4"/>
    <mergeCell ref="B6:H6"/>
    <mergeCell ref="B7:H7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A6C5-D980-48F1-A52E-7E1B17C121C0}">
  <sheetPr>
    <pageSetUpPr fitToPage="1"/>
  </sheetPr>
  <dimension ref="A1:K52"/>
  <sheetViews>
    <sheetView showGridLines="0" topLeftCell="A22" zoomScale="93" workbookViewId="0">
      <selection activeCell="F48" sqref="F48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ht="14" customHeight="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2</v>
      </c>
    </row>
    <row r="7" spans="1:11" x14ac:dyDescent="0.35">
      <c r="A7" s="14"/>
      <c r="B7" s="30" t="str">
        <f>VLOOKUP(K$6,Dashboard!A$2:H$15,4,0)&amp;"/SPPG/INS/"&amp; VLOOKUP(K6,Dashboard!A$2:H$15,5,TRUE)&amp;"/2026"</f>
        <v>027/SPPG/INS/IV/2026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MI Negeri 8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11</v>
      </c>
      <c r="G16" s="8">
        <f>VLOOKUP(K$6,Dashboard!A2:H15,8,FALSE)</f>
        <v>60000</v>
      </c>
      <c r="H16" s="8">
        <f>F16*G16</f>
        <v>660000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660000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ht="14" customHeight="1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027/SPPG/INS/IV/2026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MI Negeri 8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11</v>
      </c>
      <c r="G42" s="8">
        <f>VLOOKUP(K$6,Dashboard!A2:H15,8,FALSE)</f>
        <v>60000</v>
      </c>
      <c r="H42" s="8">
        <f>F42*G42</f>
        <v>660000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660000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paperSize="9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1FFE-0027-4DB0-B043-334F48BB3726}">
  <sheetPr>
    <pageSetUpPr fitToPage="1"/>
  </sheetPr>
  <dimension ref="A1:K52"/>
  <sheetViews>
    <sheetView showGridLines="0" zoomScale="108" workbookViewId="0">
      <selection activeCell="H48" sqref="H48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ht="14" customHeight="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3</v>
      </c>
    </row>
    <row r="7" spans="1:11" x14ac:dyDescent="0.35">
      <c r="A7" s="14"/>
      <c r="B7" s="30" t="str">
        <f>VLOOKUP(K$6,Dashboard!A$2:H$15,4,0)&amp;"/SPPG/INS/"&amp; VLOOKUP(K6,Dashboard!A$2:H$15,5,TRUE)&amp;"/2026"</f>
        <v>028/SPPG/INS/IV/2026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SD it Quantum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10</v>
      </c>
      <c r="G16" s="8">
        <f>VLOOKUP(K$6,Dashboard!A2:H15,8,FALSE)</f>
        <v>30000</v>
      </c>
      <c r="H16" s="8">
        <f>F16*G16</f>
        <v>300000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300000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ht="14" customHeight="1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028/SPPG/INS/IV/2026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SD it Quantum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10</v>
      </c>
      <c r="G42" s="8">
        <f>VLOOKUP(K$6,Dashboard!A2:H15,8,FALSE)</f>
        <v>30000</v>
      </c>
      <c r="H42" s="8">
        <f>F42*G42</f>
        <v>300000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300000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15DF-48B1-403B-AF8A-68C81E67E8F2}">
  <sheetPr>
    <pageSetUpPr fitToPage="1"/>
  </sheetPr>
  <dimension ref="A1:K52"/>
  <sheetViews>
    <sheetView showGridLines="0" topLeftCell="A39" zoomScale="108" workbookViewId="0">
      <selection activeCell="B50" sqref="B50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ht="14" customHeight="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4</v>
      </c>
    </row>
    <row r="7" spans="1:11" x14ac:dyDescent="0.35">
      <c r="A7" s="14"/>
      <c r="B7" s="30" t="str">
        <f>VLOOKUP(K$6,Dashboard!A$2:H$15,4,0)&amp;"/SPPG/INS/"&amp; VLOOKUP(K6,Dashboard!A$2:H$15,5,TRUE)&amp;"/2026"</f>
        <v>029/SPPG/INS/IV/2026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TK Be A Star Islamic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ht="14" customHeight="1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029/SPPG/INS/IV/2026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TK Be A Star Islamic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FA96-89E9-4203-8EA9-40FB8E249E35}">
  <sheetPr>
    <pageSetUpPr fitToPage="1"/>
  </sheetPr>
  <dimension ref="A1:K52"/>
  <sheetViews>
    <sheetView showGridLines="0" topLeftCell="A32" zoomScale="108" workbookViewId="0">
      <selection activeCell="B50" sqref="B50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ht="14" customHeight="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5</v>
      </c>
    </row>
    <row r="7" spans="1:11" x14ac:dyDescent="0.35">
      <c r="A7" s="14"/>
      <c r="B7" s="30" t="str">
        <f>VLOOKUP(K$6,Dashboard!A$2:H$15,4,0)&amp;"/SPPG/INS/"&amp; VLOOKUP(K6,Dashboard!A$2:H$15,5,TRUE)&amp;"/2026"</f>
        <v>030/SPPG/INS/IV/2026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TK My Dream School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ht="14" customHeight="1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030/SPPG/INS/IV/2026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TK My Dream School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BF02-B76E-4FA8-9D30-5A559E6178B8}">
  <sheetPr>
    <pageSetUpPr fitToPage="1"/>
  </sheetPr>
  <dimension ref="A1:K52"/>
  <sheetViews>
    <sheetView showGridLines="0" topLeftCell="B36" zoomScale="108" workbookViewId="0">
      <selection activeCell="B50" sqref="B50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ht="14" customHeight="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6</v>
      </c>
    </row>
    <row r="7" spans="1:11" x14ac:dyDescent="0.35">
      <c r="A7" s="14"/>
      <c r="B7" s="30" t="str">
        <f>VLOOKUP(K$6,Dashboard!A$2:H$15,4,0)&amp;"/SPPG/INS/"&amp; VLOOKUP(K6,Dashboard!A$2:H$15,5,TRUE)&amp;"/2026"</f>
        <v>031/SPPG/INS/IV/2026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SPS Aneuk Lon Gaseh Banda Aceh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ht="14" customHeight="1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031/SPPG/INS/IV/2026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SPS Aneuk Lon Gaseh Banda Aceh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C053-7613-4F48-B512-EFE214433F7B}">
  <sheetPr>
    <pageSetUpPr fitToPage="1"/>
  </sheetPr>
  <dimension ref="A1:K52"/>
  <sheetViews>
    <sheetView showGridLines="0" topLeftCell="B36" zoomScale="108" workbookViewId="0">
      <selection activeCell="B50" sqref="B50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ht="14" customHeight="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7</v>
      </c>
    </row>
    <row r="7" spans="1:11" x14ac:dyDescent="0.35">
      <c r="A7" s="14"/>
      <c r="B7" s="30" t="str">
        <f>VLOOKUP(K$6,Dashboard!A$2:H$15,4,0)&amp;"/SPPG/INS/"&amp; VLOOKUP(K6,Dashboard!A$2:H$15,5,TRUE)&amp;"/2026"</f>
        <v>032/SPPG/INS/IV/2026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SPS Bohate Poma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ht="14" customHeight="1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032/SPPG/INS/IV/2026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SPS Bohate Poma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49E1-4BDB-4C12-B0ED-6FE61564D54C}">
  <sheetPr>
    <pageSetUpPr fitToPage="1"/>
  </sheetPr>
  <dimension ref="A1:K52"/>
  <sheetViews>
    <sheetView showGridLines="0" topLeftCell="A37" zoomScale="108" workbookViewId="0">
      <selection activeCell="B50" sqref="B50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8</v>
      </c>
    </row>
    <row r="7" spans="1:11" x14ac:dyDescent="0.35">
      <c r="A7" s="14"/>
      <c r="B7" s="30" t="str">
        <f>VLOOKUP(K$6,Dashboard!A$2:H$15,4,0)&amp;"/SPPG/INS/"&amp; VLOOKUP(K6,Dashboard!A$2:H$15,5,TRUE)&amp;"/2026"</f>
        <v>033/SPPG/INS/IV/2026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PAUD Permata Ummi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033/SPPG/INS/IV/2026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PAUD Permata Ummi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6453-0B17-4A94-8C0F-6488C45CD409}">
  <sheetPr>
    <pageSetUpPr fitToPage="1"/>
  </sheetPr>
  <dimension ref="A1:K52"/>
  <sheetViews>
    <sheetView showGridLines="0" topLeftCell="B35" zoomScale="108" workbookViewId="0">
      <selection activeCell="G41" sqref="G41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ht="14" customHeight="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0</v>
      </c>
      <c r="C6" s="28"/>
      <c r="D6" s="28"/>
      <c r="E6" s="28"/>
      <c r="F6" s="28"/>
      <c r="G6" s="28"/>
      <c r="H6" s="28"/>
      <c r="I6" s="14"/>
      <c r="K6" s="23">
        <v>9</v>
      </c>
    </row>
    <row r="7" spans="1:11" x14ac:dyDescent="0.35">
      <c r="A7" s="14"/>
      <c r="B7" s="30" t="str">
        <f>VLOOKUP(K$6,Dashboard!A$2:H$15,4,0)&amp;"/SPPG/INS/"&amp; VLOOKUP(K6,Dashboard!A$2:H$15,5,TRUE)&amp;"/2026"</f>
        <v>034/SPPG/INS/IV/2026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SPS Saifa Bunda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10</v>
      </c>
      <c r="G16" s="8">
        <f>VLOOKUP(K$6,Dashboard!A2:H15,8,FALSE)</f>
        <v>20000</v>
      </c>
      <c r="H16" s="8">
        <f>F16*G16</f>
        <v>200000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200000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0" customHeight="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ht="14" customHeight="1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0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034/SPPG/INS/IV/2026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SPS Saifa Bunda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10</v>
      </c>
      <c r="G42" s="8">
        <f>VLOOKUP(K$6,Dashboard!A2:H15,8,FALSE)</f>
        <v>20000</v>
      </c>
      <c r="H42" s="8">
        <f>F42*G42</f>
        <v>200000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200000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5B6F-1BEC-43C3-BF80-46045E8FBBBE}">
  <sheetPr>
    <pageSetUpPr fitToPage="1"/>
  </sheetPr>
  <dimension ref="A1:K52"/>
  <sheetViews>
    <sheetView showGridLines="0" tabSelected="1" zoomScale="108" workbookViewId="0">
      <selection activeCell="N4" sqref="N4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55</v>
      </c>
      <c r="C6" s="28"/>
      <c r="D6" s="28"/>
      <c r="E6" s="28"/>
      <c r="F6" s="28"/>
      <c r="G6" s="28"/>
      <c r="H6" s="28"/>
      <c r="I6" s="14"/>
      <c r="K6" s="23">
        <v>10</v>
      </c>
    </row>
    <row r="7" spans="1:11" x14ac:dyDescent="0.35">
      <c r="A7" s="14"/>
      <c r="B7" s="30" t="str">
        <f>VLOOKUP(K$6,Dashboard!A$2:H$15,4,0)&amp;"/SPPG/INS/"&amp; VLOOKUP(K6,Dashboard!A$2:H$15,5,TRUE)&amp;"/2026"</f>
        <v>035/SPPG/INS/IV/2026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Posyandu Desa Lampeuot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11</v>
      </c>
      <c r="G16" s="8">
        <f>VLOOKUP(K$6,Dashboard!A2:H15,8,FALSE)</f>
        <v>1000</v>
      </c>
      <c r="H16" s="8">
        <f>F16*G16*110</f>
        <v>1210000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1210000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55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035/SPPG/INS/IV/2026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Posyandu Desa Lampeuot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11</v>
      </c>
      <c r="G42" s="8">
        <f>VLOOKUP(K$6,Dashboard!A2:H15,8,FALSE)</f>
        <v>1000</v>
      </c>
      <c r="H42" s="8">
        <f>F42*G42*110</f>
        <v>1210000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1210000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F04B-0237-4C07-9FCA-D8D2157938EA}">
  <sheetPr>
    <pageSetUpPr fitToPage="1"/>
  </sheetPr>
  <dimension ref="A1:K52"/>
  <sheetViews>
    <sheetView showGridLines="0" zoomScale="108" workbookViewId="0">
      <selection activeCell="H43" sqref="H43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55</v>
      </c>
      <c r="C6" s="28"/>
      <c r="D6" s="28"/>
      <c r="E6" s="28"/>
      <c r="F6" s="28"/>
      <c r="G6" s="28"/>
      <c r="H6" s="28"/>
      <c r="I6" s="14"/>
      <c r="K6" s="23">
        <v>11</v>
      </c>
    </row>
    <row r="7" spans="1:11" x14ac:dyDescent="0.35">
      <c r="A7" s="14"/>
      <c r="B7" s="30" t="str">
        <f>VLOOKUP(K$6,Dashboard!A$2:H$15,4,0)&amp;"/SPPG/INS/"&amp; VLOOKUP(K6,Dashboard!A$2:H$15,5,TRUE)&amp;"/2026"</f>
        <v>036/SPPG/INS/IV/2026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Posyandu Desa Lam Ara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11</v>
      </c>
      <c r="G16" s="8">
        <f>VLOOKUP(K$6,Dashboard!A2:H15,8,FALSE)</f>
        <v>1000</v>
      </c>
      <c r="H16" s="8">
        <f>F16*G16*187</f>
        <v>2057000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2057000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55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036/SPPG/INS/IV/2026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Posyandu Desa Lam Ara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11</v>
      </c>
      <c r="G42" s="8">
        <f>VLOOKUP(K$6,Dashboard!A2:H15,8,FALSE)</f>
        <v>1000</v>
      </c>
      <c r="H42" s="8">
        <f>F42*G42*187</f>
        <v>2057000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2057000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41D4-41A1-4FDF-BCDB-95B4F881AC43}">
  <sheetPr>
    <pageSetUpPr fitToPage="1"/>
  </sheetPr>
  <dimension ref="A1:K52"/>
  <sheetViews>
    <sheetView showGridLines="0" topLeftCell="A36" zoomScale="108" workbookViewId="0">
      <selection activeCell="H43" sqref="H43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55</v>
      </c>
      <c r="C6" s="28"/>
      <c r="D6" s="28"/>
      <c r="E6" s="28"/>
      <c r="F6" s="28"/>
      <c r="G6" s="28"/>
      <c r="H6" s="28"/>
      <c r="I6" s="14"/>
      <c r="K6" s="23">
        <v>12</v>
      </c>
    </row>
    <row r="7" spans="1:11" x14ac:dyDescent="0.35">
      <c r="A7" s="14"/>
      <c r="B7" s="30" t="str">
        <f>VLOOKUP(K$6,Dashboard!A$2:H$15,4,0)&amp;"/SPPG/INS/"&amp; VLOOKUP(K6,Dashboard!A$2:H$15,5,TRUE)&amp;"/2026"</f>
        <v>037/SPPG/INS/IV/2026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Posyandu Desa Geuceu Kaye Jato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11</v>
      </c>
      <c r="G16" s="8">
        <f>VLOOKUP(K$6,Dashboard!A2:H15,8,FALSE)</f>
        <v>1000</v>
      </c>
      <c r="H16" s="8">
        <f>F16*G16*118</f>
        <v>1298000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1298000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55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037/SPPG/INS/IV/2026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Posyandu Desa Geuceu Kaye Jato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11</v>
      </c>
      <c r="G42" s="8">
        <f>VLOOKUP(K$6,Dashboard!A2:H15,8,FALSE)</f>
        <v>1000</v>
      </c>
      <c r="H42" s="8">
        <f>F42*G42*118</f>
        <v>1298000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1298000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40B1-6E8C-4BAA-966D-E36800F2AA1B}">
  <sheetPr>
    <pageSetUpPr fitToPage="1"/>
  </sheetPr>
  <dimension ref="A1:K52"/>
  <sheetViews>
    <sheetView showGridLines="0" topLeftCell="A9" zoomScale="81" workbookViewId="0">
      <selection activeCell="K16" sqref="K16"/>
    </sheetView>
  </sheetViews>
  <sheetFormatPr defaultRowHeight="14.5" x14ac:dyDescent="0.35"/>
  <cols>
    <col min="1" max="1" width="2.7265625" customWidth="1"/>
    <col min="2" max="2" width="4.08984375" customWidth="1"/>
    <col min="3" max="3" width="10.453125" customWidth="1"/>
    <col min="4" max="4" width="1.81640625" customWidth="1"/>
    <col min="5" max="5" width="15.36328125" customWidth="1"/>
    <col min="6" max="6" width="11.453125" customWidth="1"/>
    <col min="7" max="7" width="25.26953125" customWidth="1"/>
    <col min="8" max="8" width="26.36328125" customWidth="1"/>
    <col min="9" max="9" width="4" customWidth="1"/>
    <col min="10" max="10" width="2.453125" customWidth="1"/>
  </cols>
  <sheetData>
    <row r="1" spans="1:11" x14ac:dyDescent="0.35">
      <c r="A1" s="14"/>
      <c r="B1" s="14"/>
      <c r="C1" s="14"/>
      <c r="D1" s="14"/>
      <c r="E1" s="14"/>
      <c r="F1" s="14"/>
      <c r="G1" s="14"/>
      <c r="H1" s="14"/>
      <c r="I1" s="14"/>
    </row>
    <row r="2" spans="1:11" ht="25.9" customHeight="1" x14ac:dyDescent="0.35">
      <c r="A2" s="14"/>
      <c r="D2" s="22" t="s">
        <v>50</v>
      </c>
      <c r="E2" s="22"/>
      <c r="F2" s="22"/>
      <c r="G2" s="22"/>
      <c r="H2" s="22"/>
      <c r="I2" s="14"/>
    </row>
    <row r="3" spans="1:11" x14ac:dyDescent="0.35">
      <c r="A3" s="14"/>
      <c r="D3" s="28" t="s">
        <v>51</v>
      </c>
      <c r="E3" s="28"/>
      <c r="F3" s="28"/>
      <c r="G3" s="28"/>
      <c r="H3" s="28"/>
      <c r="I3" s="14"/>
    </row>
    <row r="4" spans="1:11" ht="20.5" customHeight="1" thickBot="1" x14ac:dyDescent="0.4">
      <c r="A4" s="14"/>
      <c r="B4" s="10"/>
      <c r="C4" s="10"/>
      <c r="D4" s="29" t="s">
        <v>52</v>
      </c>
      <c r="E4" s="29"/>
      <c r="F4" s="29"/>
      <c r="G4" s="29"/>
      <c r="H4" s="29"/>
      <c r="I4" s="14"/>
    </row>
    <row r="5" spans="1:11" ht="15" thickTop="1" x14ac:dyDescent="0.35">
      <c r="A5" s="14"/>
      <c r="I5" s="14"/>
    </row>
    <row r="6" spans="1:11" x14ac:dyDescent="0.35">
      <c r="A6" s="14"/>
      <c r="B6" s="28" t="s">
        <v>55</v>
      </c>
      <c r="C6" s="28"/>
      <c r="D6" s="28"/>
      <c r="E6" s="28"/>
      <c r="F6" s="28"/>
      <c r="G6" s="28"/>
      <c r="H6" s="28"/>
      <c r="I6" s="14"/>
      <c r="K6" s="23">
        <v>13</v>
      </c>
    </row>
    <row r="7" spans="1:11" x14ac:dyDescent="0.35">
      <c r="A7" s="14"/>
      <c r="B7" s="30" t="str">
        <f>VLOOKUP(K$6,Dashboard!A$2:H$15,4,0)&amp;"/SPPG/INS/"&amp; VLOOKUP(K6,Dashboard!A$2:H$15,5,TRUE)&amp;"/2026"</f>
        <v>038/SPPG/INS/IV/2026</v>
      </c>
      <c r="C7" s="30"/>
      <c r="D7" s="30"/>
      <c r="E7" s="30"/>
      <c r="F7" s="30"/>
      <c r="G7" s="30"/>
      <c r="H7" s="30"/>
      <c r="I7" s="14"/>
      <c r="K7" s="23"/>
    </row>
    <row r="8" spans="1:11" ht="9" customHeight="1" x14ac:dyDescent="0.35">
      <c r="A8" s="14"/>
      <c r="I8" s="14"/>
    </row>
    <row r="9" spans="1:11" x14ac:dyDescent="0.35">
      <c r="A9" s="14"/>
      <c r="B9" s="1" t="s">
        <v>1</v>
      </c>
      <c r="C9" s="1"/>
      <c r="I9" s="14"/>
    </row>
    <row r="10" spans="1:11" x14ac:dyDescent="0.35">
      <c r="A10" s="14"/>
      <c r="B10" t="s">
        <v>2</v>
      </c>
      <c r="D10" t="s">
        <v>4</v>
      </c>
      <c r="I10" s="14"/>
    </row>
    <row r="11" spans="1:11" x14ac:dyDescent="0.35">
      <c r="A11" s="14"/>
      <c r="B11" t="s">
        <v>16</v>
      </c>
      <c r="D11" t="s">
        <v>4</v>
      </c>
      <c r="E11" s="1" t="str">
        <f>VLOOKUP(K$6,Dashboard!A2:H15,2, 0)</f>
        <v>Posyandu Desa Geuceu Komplek</v>
      </c>
      <c r="I11" s="14"/>
    </row>
    <row r="12" spans="1:11" x14ac:dyDescent="0.35">
      <c r="A12" s="14"/>
      <c r="B12" t="s">
        <v>3</v>
      </c>
      <c r="D12" t="s">
        <v>4</v>
      </c>
      <c r="E12" t="str">
        <f>VLOOKUP(K$6,Dashboard!A2:H15,6, 0)</f>
        <v>13 April s.d 25 April 2026</v>
      </c>
      <c r="I12" s="14"/>
    </row>
    <row r="13" spans="1:11" x14ac:dyDescent="0.35">
      <c r="A13" s="14"/>
      <c r="I13" s="14"/>
    </row>
    <row r="14" spans="1:11" x14ac:dyDescent="0.35">
      <c r="A14" s="14"/>
      <c r="B14" s="1" t="s">
        <v>5</v>
      </c>
      <c r="C14" s="1"/>
      <c r="I14" s="14"/>
    </row>
    <row r="15" spans="1:11" ht="19.149999999999999" customHeight="1" x14ac:dyDescent="0.35">
      <c r="A15" s="14"/>
      <c r="B15" s="5" t="s">
        <v>8</v>
      </c>
      <c r="C15" s="27" t="s">
        <v>7</v>
      </c>
      <c r="D15" s="27"/>
      <c r="E15" s="27"/>
      <c r="F15" s="5" t="s">
        <v>9</v>
      </c>
      <c r="G15" s="5" t="s">
        <v>10</v>
      </c>
      <c r="H15" s="5" t="s">
        <v>11</v>
      </c>
      <c r="I15" s="14"/>
    </row>
    <row r="16" spans="1:11" x14ac:dyDescent="0.35">
      <c r="A16" s="14"/>
      <c r="B16" s="6">
        <v>1</v>
      </c>
      <c r="C16" s="24" t="str">
        <f>Dashboard!A1</f>
        <v>Insentif Periode 8</v>
      </c>
      <c r="D16" s="25"/>
      <c r="E16" s="26"/>
      <c r="F16" s="6">
        <f>VLOOKUP(K$6, Dashboard!A2:H15,7,FALSE)</f>
        <v>11</v>
      </c>
      <c r="G16" s="8">
        <f>VLOOKUP(K$6,Dashboard!A2:H15,8,FALSE)</f>
        <v>1000</v>
      </c>
      <c r="H16" s="8">
        <f>F16*G16*211</f>
        <v>2321000</v>
      </c>
      <c r="I16" s="14"/>
    </row>
    <row r="17" spans="1:9" x14ac:dyDescent="0.35">
      <c r="A17" s="14"/>
      <c r="I17" s="14"/>
    </row>
    <row r="18" spans="1:9" x14ac:dyDescent="0.35">
      <c r="A18" s="14"/>
      <c r="F18" s="25" t="s">
        <v>12</v>
      </c>
      <c r="G18" s="25"/>
      <c r="H18" s="4">
        <f>H16</f>
        <v>2321000</v>
      </c>
      <c r="I18" s="14"/>
    </row>
    <row r="19" spans="1:9" x14ac:dyDescent="0.35">
      <c r="A19" s="14"/>
      <c r="I19" s="14"/>
    </row>
    <row r="20" spans="1:9" x14ac:dyDescent="0.35">
      <c r="A20" s="14"/>
      <c r="B20" t="s">
        <v>14</v>
      </c>
      <c r="H20" s="2" t="s">
        <v>15</v>
      </c>
      <c r="I20" s="14"/>
    </row>
    <row r="21" spans="1:9" x14ac:dyDescent="0.35">
      <c r="A21" s="14"/>
      <c r="I21" s="14"/>
    </row>
    <row r="22" spans="1:9" x14ac:dyDescent="0.35">
      <c r="A22" s="14"/>
      <c r="I22" s="14"/>
    </row>
    <row r="23" spans="1:9" x14ac:dyDescent="0.35">
      <c r="A23" s="14"/>
      <c r="I23" s="14"/>
    </row>
    <row r="24" spans="1:9" x14ac:dyDescent="0.35">
      <c r="A24" s="14"/>
      <c r="B24" s="9" t="s">
        <v>54</v>
      </c>
      <c r="C24" s="3"/>
      <c r="D24" s="3"/>
      <c r="E24" s="3"/>
      <c r="H24" s="3"/>
      <c r="I24" s="14"/>
    </row>
    <row r="25" spans="1:9" x14ac:dyDescent="0.35">
      <c r="A25" s="14"/>
      <c r="B25" t="s">
        <v>13</v>
      </c>
      <c r="I25" s="14"/>
    </row>
    <row r="26" spans="1:9" ht="79.5" customHeight="1" x14ac:dyDescent="0.35">
      <c r="A26" s="14"/>
      <c r="B26" s="13"/>
      <c r="C26" s="13"/>
      <c r="D26" s="13"/>
      <c r="E26" s="13"/>
      <c r="F26" s="13"/>
      <c r="G26" s="13"/>
      <c r="H26" s="13"/>
      <c r="I26" s="14"/>
    </row>
    <row r="27" spans="1:9" ht="20.5" customHeight="1" x14ac:dyDescent="0.35">
      <c r="A27" s="14"/>
      <c r="I27" s="14"/>
    </row>
    <row r="28" spans="1:9" ht="21" x14ac:dyDescent="0.35">
      <c r="A28" s="14"/>
      <c r="D28" s="22" t="s">
        <v>50</v>
      </c>
      <c r="E28" s="22"/>
      <c r="F28" s="22"/>
      <c r="G28" s="22"/>
      <c r="H28" s="22"/>
      <c r="I28" s="14"/>
    </row>
    <row r="29" spans="1:9" x14ac:dyDescent="0.35">
      <c r="A29" s="14"/>
      <c r="D29" s="28" t="s">
        <v>51</v>
      </c>
      <c r="E29" s="28"/>
      <c r="F29" s="28"/>
      <c r="G29" s="28"/>
      <c r="H29" s="28"/>
      <c r="I29" s="14"/>
    </row>
    <row r="30" spans="1:9" ht="18.649999999999999" customHeight="1" thickBot="1" x14ac:dyDescent="0.4">
      <c r="A30" s="14"/>
      <c r="B30" s="10"/>
      <c r="C30" s="10"/>
      <c r="D30" s="29" t="s">
        <v>52</v>
      </c>
      <c r="E30" s="29"/>
      <c r="F30" s="29"/>
      <c r="G30" s="29"/>
      <c r="H30" s="29"/>
      <c r="I30" s="14"/>
    </row>
    <row r="31" spans="1:9" ht="15" thickTop="1" x14ac:dyDescent="0.35">
      <c r="A31" s="14"/>
      <c r="I31" s="14"/>
    </row>
    <row r="32" spans="1:9" x14ac:dyDescent="0.35">
      <c r="A32" s="14"/>
      <c r="B32" s="28" t="s">
        <v>55</v>
      </c>
      <c r="C32" s="28"/>
      <c r="D32" s="28"/>
      <c r="E32" s="28"/>
      <c r="F32" s="28"/>
      <c r="G32" s="28"/>
      <c r="H32" s="28"/>
      <c r="I32" s="14"/>
    </row>
    <row r="33" spans="1:9" x14ac:dyDescent="0.35">
      <c r="A33" s="14"/>
      <c r="B33" s="30" t="str">
        <f>VLOOKUP(K$6,Dashboard!A$2:H$15,4,0)&amp;"/SPPG/INS/"&amp; VLOOKUP(K6,Dashboard!A$2:H$15,5,TRUE)&amp;"/2026"</f>
        <v>038/SPPG/INS/IV/2026</v>
      </c>
      <c r="C33" s="30"/>
      <c r="D33" s="30"/>
      <c r="E33" s="30"/>
      <c r="F33" s="30"/>
      <c r="G33" s="30"/>
      <c r="H33" s="30"/>
      <c r="I33" s="14"/>
    </row>
    <row r="34" spans="1:9" ht="7.9" customHeight="1" x14ac:dyDescent="0.35">
      <c r="A34" s="14"/>
      <c r="I34" s="14"/>
    </row>
    <row r="35" spans="1:9" x14ac:dyDescent="0.35">
      <c r="A35" s="14"/>
      <c r="B35" s="1" t="s">
        <v>1</v>
      </c>
      <c r="C35" s="1"/>
      <c r="I35" s="14"/>
    </row>
    <row r="36" spans="1:9" x14ac:dyDescent="0.35">
      <c r="A36" s="14"/>
      <c r="B36" t="s">
        <v>2</v>
      </c>
      <c r="D36" t="s">
        <v>4</v>
      </c>
      <c r="I36" s="14"/>
    </row>
    <row r="37" spans="1:9" x14ac:dyDescent="0.35">
      <c r="A37" s="14"/>
      <c r="B37" t="s">
        <v>16</v>
      </c>
      <c r="D37" t="s">
        <v>4</v>
      </c>
      <c r="E37" s="1" t="str">
        <f>VLOOKUP(K$6,Dashboard!A2:H15,2, 0)</f>
        <v>Posyandu Desa Geuceu Komplek</v>
      </c>
      <c r="I37" s="14"/>
    </row>
    <row r="38" spans="1:9" x14ac:dyDescent="0.35">
      <c r="A38" s="14"/>
      <c r="B38" t="s">
        <v>3</v>
      </c>
      <c r="D38" t="s">
        <v>4</v>
      </c>
      <c r="E38" t="str">
        <f>VLOOKUP(K$6,Dashboard!A2:H15,6, 0)</f>
        <v>13 April s.d 25 April 2026</v>
      </c>
      <c r="I38" s="14"/>
    </row>
    <row r="39" spans="1:9" x14ac:dyDescent="0.35">
      <c r="A39" s="14"/>
      <c r="I39" s="14"/>
    </row>
    <row r="40" spans="1:9" x14ac:dyDescent="0.35">
      <c r="A40" s="14"/>
      <c r="B40" s="1" t="s">
        <v>5</v>
      </c>
      <c r="C40" s="1"/>
      <c r="I40" s="14"/>
    </row>
    <row r="41" spans="1:9" x14ac:dyDescent="0.35">
      <c r="A41" s="14"/>
      <c r="B41" s="5" t="s">
        <v>8</v>
      </c>
      <c r="C41" s="31" t="s">
        <v>7</v>
      </c>
      <c r="D41" s="32"/>
      <c r="E41" s="33"/>
      <c r="F41" s="5" t="s">
        <v>9</v>
      </c>
      <c r="G41" s="5" t="s">
        <v>10</v>
      </c>
      <c r="H41" s="5" t="s">
        <v>11</v>
      </c>
      <c r="I41" s="14"/>
    </row>
    <row r="42" spans="1:9" x14ac:dyDescent="0.35">
      <c r="A42" s="14"/>
      <c r="B42" s="6">
        <v>1</v>
      </c>
      <c r="C42" s="24" t="str">
        <f>Dashboard!A1</f>
        <v>Insentif Periode 8</v>
      </c>
      <c r="D42" s="25"/>
      <c r="E42" s="26"/>
      <c r="F42" s="6">
        <f>VLOOKUP(K$6, Dashboard!A2:H15,7,FALSE)</f>
        <v>11</v>
      </c>
      <c r="G42" s="8">
        <f>VLOOKUP(K$6,Dashboard!A2:H15,8,FALSE)</f>
        <v>1000</v>
      </c>
      <c r="H42" s="8">
        <f>F42*G42*211</f>
        <v>2321000</v>
      </c>
      <c r="I42" s="14"/>
    </row>
    <row r="43" spans="1:9" x14ac:dyDescent="0.35">
      <c r="A43" s="14"/>
      <c r="I43" s="14"/>
    </row>
    <row r="44" spans="1:9" x14ac:dyDescent="0.35">
      <c r="A44" s="14"/>
      <c r="F44" s="25" t="s">
        <v>12</v>
      </c>
      <c r="G44" s="25"/>
      <c r="H44" s="4">
        <f>H42</f>
        <v>2321000</v>
      </c>
      <c r="I44" s="14"/>
    </row>
    <row r="45" spans="1:9" x14ac:dyDescent="0.35">
      <c r="A45" s="14"/>
      <c r="I45" s="14"/>
    </row>
    <row r="46" spans="1:9" x14ac:dyDescent="0.35">
      <c r="A46" s="14"/>
      <c r="B46" t="s">
        <v>14</v>
      </c>
      <c r="H46" s="2" t="s">
        <v>15</v>
      </c>
      <c r="I46" s="14"/>
    </row>
    <row r="47" spans="1:9" x14ac:dyDescent="0.35">
      <c r="A47" s="14"/>
      <c r="I47" s="14"/>
    </row>
    <row r="48" spans="1:9" x14ac:dyDescent="0.35">
      <c r="A48" s="14"/>
      <c r="I48" s="14"/>
    </row>
    <row r="49" spans="1:9" x14ac:dyDescent="0.35">
      <c r="A49" s="14"/>
      <c r="I49" s="14"/>
    </row>
    <row r="50" spans="1:9" x14ac:dyDescent="0.35">
      <c r="A50" s="14"/>
      <c r="B50" s="9" t="s">
        <v>54</v>
      </c>
      <c r="C50" s="3"/>
      <c r="D50" s="3"/>
      <c r="E50" s="3"/>
      <c r="H50" s="3"/>
      <c r="I50" s="14"/>
    </row>
    <row r="51" spans="1:9" x14ac:dyDescent="0.35">
      <c r="A51" s="14"/>
      <c r="B51" t="s">
        <v>13</v>
      </c>
      <c r="I51" s="14"/>
    </row>
    <row r="52" spans="1:9" x14ac:dyDescent="0.35">
      <c r="A52" s="14"/>
      <c r="B52" s="14"/>
      <c r="C52" s="14"/>
      <c r="D52" s="14"/>
      <c r="E52" s="14"/>
      <c r="F52" s="14"/>
      <c r="G52" s="14"/>
      <c r="H52" s="14"/>
      <c r="I52" s="14"/>
    </row>
  </sheetData>
  <mergeCells count="17">
    <mergeCell ref="K6:K7"/>
    <mergeCell ref="B7:H7"/>
    <mergeCell ref="D30:H30"/>
    <mergeCell ref="D2:H2"/>
    <mergeCell ref="D3:H3"/>
    <mergeCell ref="D4:H4"/>
    <mergeCell ref="B6:H6"/>
    <mergeCell ref="C15:E15"/>
    <mergeCell ref="C16:E16"/>
    <mergeCell ref="F18:G18"/>
    <mergeCell ref="D28:H28"/>
    <mergeCell ref="D29:H29"/>
    <mergeCell ref="B32:H32"/>
    <mergeCell ref="B33:H33"/>
    <mergeCell ref="C41:E41"/>
    <mergeCell ref="C42:E42"/>
    <mergeCell ref="F44:G44"/>
  </mergeCells>
  <printOptions horizontalCentered="1"/>
  <pageMargins left="0.11811023622047245" right="0.11811023622047245" top="0.23622047244094491" bottom="0.23622047244094491" header="0.31496062992125984" footer="0.31496062992125984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Dashboard</vt:lpstr>
      <vt:lpstr>Sekolah</vt:lpstr>
      <vt:lpstr>Sekolah (2)</vt:lpstr>
      <vt:lpstr>Sekolah (3)</vt:lpstr>
      <vt:lpstr>Sekolah (4)</vt:lpstr>
      <vt:lpstr>Sekolah (5)</vt:lpstr>
      <vt:lpstr>Sekolah (6)</vt:lpstr>
      <vt:lpstr>Sekolah (7)</vt:lpstr>
      <vt:lpstr>Sekolah (8)</vt:lpstr>
      <vt:lpstr>Sekolah (9)</vt:lpstr>
      <vt:lpstr>Posyandu (10)</vt:lpstr>
      <vt:lpstr>Posyandu (11)</vt:lpstr>
      <vt:lpstr>Posyandu (12)</vt:lpstr>
      <vt:lpstr>Posyandu (13)</vt:lpstr>
      <vt:lpstr>'Posyandu (10)'!Print_Area</vt:lpstr>
      <vt:lpstr>'Posyandu (11)'!Print_Area</vt:lpstr>
      <vt:lpstr>'Posyandu (12)'!Print_Area</vt:lpstr>
      <vt:lpstr>'Posyandu (13)'!Print_Area</vt:lpstr>
      <vt:lpstr>Sekolah!Print_Area</vt:lpstr>
      <vt:lpstr>'Sekolah (2)'!Print_Area</vt:lpstr>
      <vt:lpstr>'Sekolah (3)'!Print_Area</vt:lpstr>
      <vt:lpstr>'Sekolah (4)'!Print_Area</vt:lpstr>
      <vt:lpstr>'Sekolah (5)'!Print_Area</vt:lpstr>
      <vt:lpstr>'Sekolah (6)'!Print_Area</vt:lpstr>
      <vt:lpstr>'Sekolah (7)'!Print_Area</vt:lpstr>
      <vt:lpstr>'Sekolah (8)'!Print_Area</vt:lpstr>
      <vt:lpstr>'Sekolah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office15059</dc:creator>
  <cp:lastModifiedBy>Hp</cp:lastModifiedBy>
  <cp:lastPrinted>2026-04-23T03:06:32Z</cp:lastPrinted>
  <dcterms:created xsi:type="dcterms:W3CDTF">2025-12-18T15:52:06Z</dcterms:created>
  <dcterms:modified xsi:type="dcterms:W3CDTF">2026-04-23T03:07:56Z</dcterms:modified>
</cp:coreProperties>
</file>